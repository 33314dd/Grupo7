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7\Fase 2\Evidencias Grupales\"/>
    </mc:Choice>
  </mc:AlternateContent>
  <bookViews>
    <workbookView xWindow="0" yWindow="0" windowWidth="23040" windowHeight="9072"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<sst xmlns="http://schemas.openxmlformats.org/spreadsheetml/2006/main" count="144" uniqueCount="85">
  <si>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</si>
  <si>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</si>
  <si>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</si>
  <si>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</si>
  <si>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</si>
  <si>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</si>
  <si>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</si>
  <si>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</si>
  <si>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</si>
  <si>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</si>
  <si>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</si>
  <si>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</si>
  <si>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</si>
  <si>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</si>
  <si>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</si>
  <si>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</si>
  <si>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</si>
  <si>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</si>
  <si>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</si>
  <si>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</si>
  <si>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</si>
  <si>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</si>
  <si>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</si>
  <si>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</si>
  <si>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</si>
  <si>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</si>
  <si>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</si>
  <si>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</si>
  <si>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</si>
  <si>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</si>
  <si>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</si>
  <si>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</si>
  <si>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</si>
  <si>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</si>
  <si>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</si>
  <si>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</si>
  <si>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</si>
  <si>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</si>
  <si>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</si>
  <si>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</si>
  <si>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</si>
  <si>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</si>
  <si>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</si>
  <si>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</si>
  <si>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</si>
  <si>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</si>
  <si>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</si>
  <si>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</si>
  <si>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</si>
  <si>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</si>
  <si>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</si>
  <si>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</si>
  <si>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</si>
  <si>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</si>
  <si>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</si>
  <si>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</si>
  <si>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</si>
  <si>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</si>
  <si>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</si>
  <si>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</si>
  <si>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</si>
  <si>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</si>
  <si>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</si>
  <si>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</si>
  <si>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</si>
  <si>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</si>
  <si>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</si>
  <si>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</si>
  <si>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</si>
  <si>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</si>
  <si>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</si>
  <si>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</si>
  <si>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</si>
  <si>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</si>
  <si>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</si>
  <si>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</si>
  <si>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ALEJANDRO IGNACIO TRONCOSO VICUNA</t>
  </si>
  <si>
    <t>DIEGO VALENZUELA CARRIZO</t>
  </si>
  <si>
    <t>IVAN JAVIER DIAZ VEGA</t>
  </si>
  <si>
    <t>Modelo de datos ilegible</t>
  </si>
  <si>
    <t>Presupuesto mas grandr</t>
  </si>
  <si>
    <t>Sprint muy chica la letra</t>
  </si>
  <si>
    <t>burndown chart no es</t>
  </si>
  <si>
    <t>impediment log explicarlo y hablar los problemas de equipo</t>
  </si>
  <si>
    <t>Demo  . HU. Falta un flujo donde participen los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</si>
</sst>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0" xfId="0" applyFont="1" applyAlignment="1">
      <alignment horizontal="right"/>
    </xf>
    <xf numFmtId="0" fontId="14" fillId="0" borderId="4" xfId="0" applyFont="1" applyBorder="1" applyAlignment="1">
      <alignment horizontal="left"/>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0" xfId="0" applyFont="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3" t="s">
        <v>18</v>
      </c>
      <c r="B1" s="53" t="s">
        <v>19</v>
      </c>
      <c r="C1" s="53"/>
      <c r="D1" s="53"/>
      <c r="E1" s="53"/>
      <c r="F1" s="53" t="s">
        <v>20</v>
      </c>
    </row>
    <row r="2" spans="1:6" x14ac:dyDescent="0.3">
      <c r="A2" s="53"/>
      <c r="B2" s="54" t="s">
        <v>29</v>
      </c>
      <c r="C2" s="54" t="s">
        <v>21</v>
      </c>
      <c r="D2" s="35" t="s">
        <v>22</v>
      </c>
      <c r="E2" s="34" t="s">
        <v>7</v>
      </c>
      <c r="F2" s="53"/>
    </row>
    <row r="3" spans="1:6" x14ac:dyDescent="0.3">
      <c r="A3" s="53"/>
      <c r="B3" s="54"/>
      <c r="C3" s="54"/>
      <c r="D3" s="36">
        <v>-0.3</v>
      </c>
      <c r="E3" s="36">
        <v>0</v>
      </c>
      <c r="F3" s="53"/>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45" zoomScale="129" zoomScaleNormal="120" workbookViewId="0">
      <selection activeCell="B63" sqref="B6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39" t="s">
        <v>9</v>
      </c>
      <c r="D3" s="40" t="s">
        <v>15</v>
      </c>
      <c r="E3" s="56"/>
    </row>
    <row r="4" spans="1:11" ht="14.4" x14ac:dyDescent="0.3">
      <c r="A4" s="4">
        <v>1</v>
      </c>
      <c r="B4" s="52" t="s">
        <v>76</v>
      </c>
      <c r="C4" s="5">
        <f>EVALUACION1!$C$21</f>
        <v>7</v>
      </c>
      <c r="D4" s="5">
        <f>$C$32</f>
        <v>7</v>
      </c>
      <c r="E4" s="6">
        <f>C4*C$2+D4*D$2</f>
        <v>7</v>
      </c>
      <c r="G4" s="1"/>
    </row>
    <row r="5" spans="1:11" ht="14.4" x14ac:dyDescent="0.3">
      <c r="A5" s="4">
        <v>2</v>
      </c>
      <c r="B5" s="52" t="s">
        <v>77</v>
      </c>
      <c r="C5" s="5">
        <f>EVALUACION1!$C$21</f>
        <v>7</v>
      </c>
      <c r="D5" s="5">
        <f>C44</f>
        <v>7</v>
      </c>
      <c r="E5" s="6">
        <f t="shared" ref="E5:E6" si="0">C5*C$2+D5*D$2</f>
        <v>7</v>
      </c>
      <c r="G5" s="1"/>
    </row>
    <row r="6" spans="1:11" ht="14.4" x14ac:dyDescent="0.3">
      <c r="A6" s="4">
        <v>3</v>
      </c>
      <c r="B6" s="52" t="s">
        <v>78</v>
      </c>
      <c r="C6" s="5">
        <f>EVALUACION1!$C$21</f>
        <v>7</v>
      </c>
      <c r="D6" s="5">
        <f>C55</f>
        <v>7</v>
      </c>
      <c r="E6" s="6">
        <f t="shared" si="0"/>
        <v>7</v>
      </c>
      <c r="G6" s="1"/>
    </row>
    <row r="11" spans="1:11" ht="18" outlineLevel="1" x14ac:dyDescent="0.3">
      <c r="A11" s="71" t="s">
        <v>9</v>
      </c>
      <c r="B11" s="15"/>
      <c r="C11" s="63" t="s">
        <v>10</v>
      </c>
      <c r="D11" s="64" t="s">
        <v>11</v>
      </c>
      <c r="E11" s="65"/>
      <c r="F11" s="65"/>
      <c r="G11" s="65"/>
      <c r="H11" s="65"/>
      <c r="I11" s="65"/>
      <c r="J11" s="65"/>
      <c r="K11" s="66"/>
    </row>
    <row r="12" spans="1:11" ht="14.4" outlineLevel="1" x14ac:dyDescent="0.3">
      <c r="A12" s="69"/>
      <c r="B12" s="25" t="s">
        <v>12</v>
      </c>
      <c r="C12" s="56"/>
      <c r="D12" s="64" t="s">
        <v>5</v>
      </c>
      <c r="E12" s="66"/>
      <c r="F12" s="64" t="s">
        <v>6</v>
      </c>
      <c r="G12" s="66"/>
      <c r="H12" s="67" t="s">
        <v>27</v>
      </c>
      <c r="I12" s="66"/>
      <c r="J12" s="64" t="s">
        <v>7</v>
      </c>
      <c r="K12" s="66"/>
    </row>
    <row r="13" spans="1:11" ht="24" outlineLevel="1" x14ac:dyDescent="0.3">
      <c r="A13" s="72"/>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2"/>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2"/>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2"/>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2"/>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2"/>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2"/>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9"/>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6"/>
      <c r="B21" s="32" t="s">
        <v>13</v>
      </c>
      <c r="C21" s="21">
        <f>VLOOKUP(C20,ESCALA_IEP!A1:B152,2,FALSE)</f>
        <v>7</v>
      </c>
    </row>
    <row r="22" spans="1:11" ht="15.75" customHeight="1" x14ac:dyDescent="0.3"/>
    <row r="23" spans="1:11" ht="15.75" customHeight="1" x14ac:dyDescent="0.3"/>
    <row r="24" spans="1:11" ht="15.75" customHeight="1" x14ac:dyDescent="0.3">
      <c r="A24" s="68" t="s">
        <v>15</v>
      </c>
      <c r="B24" s="55" t="s">
        <v>16</v>
      </c>
      <c r="C24" s="57" t="str">
        <f>$B$4</f>
        <v>ALEJANDRO IGNACIO TRONCOSO VICUNA</v>
      </c>
      <c r="D24" s="58"/>
      <c r="E24" s="58"/>
      <c r="F24" s="58"/>
      <c r="G24" s="58"/>
      <c r="H24" s="58"/>
      <c r="I24" s="58"/>
      <c r="J24" s="58"/>
      <c r="K24" s="59"/>
    </row>
    <row r="25" spans="1:11" ht="15.75" customHeight="1" x14ac:dyDescent="0.3">
      <c r="A25" s="69"/>
      <c r="B25" s="56"/>
      <c r="C25" s="60"/>
      <c r="D25" s="61"/>
      <c r="E25" s="61"/>
      <c r="F25" s="61"/>
      <c r="G25" s="61"/>
      <c r="H25" s="61"/>
      <c r="I25" s="61"/>
      <c r="J25" s="61"/>
      <c r="K25" s="62"/>
    </row>
    <row r="26" spans="1:11" ht="15.75" customHeight="1" x14ac:dyDescent="0.3">
      <c r="A26" s="69"/>
      <c r="B26" s="15" t="s">
        <v>17</v>
      </c>
      <c r="C26" s="63" t="s">
        <v>10</v>
      </c>
      <c r="D26" s="64" t="s">
        <v>11</v>
      </c>
      <c r="E26" s="65"/>
      <c r="F26" s="65"/>
      <c r="G26" s="65"/>
      <c r="H26" s="65"/>
      <c r="I26" s="65"/>
      <c r="J26" s="65"/>
      <c r="K26" s="66"/>
    </row>
    <row r="27" spans="1:11" ht="15.75" customHeight="1" x14ac:dyDescent="0.3">
      <c r="A27" s="69"/>
      <c r="B27" s="16" t="s">
        <v>12</v>
      </c>
      <c r="C27" s="56"/>
      <c r="D27" s="64" t="s">
        <v>5</v>
      </c>
      <c r="E27" s="66"/>
      <c r="F27" s="64" t="s">
        <v>6</v>
      </c>
      <c r="G27" s="66"/>
      <c r="H27" s="67" t="s">
        <v>27</v>
      </c>
      <c r="I27" s="66"/>
      <c r="J27" s="64" t="s">
        <v>7</v>
      </c>
      <c r="K27" s="66"/>
    </row>
    <row r="28" spans="1:11" ht="14.4" x14ac:dyDescent="0.3">
      <c r="A28" s="69"/>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9"/>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9"/>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9"/>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6"/>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8" t="s">
        <v>15</v>
      </c>
      <c r="B36" s="55" t="s">
        <v>16</v>
      </c>
      <c r="C36" s="57" t="str">
        <f>B5</f>
        <v>DIEGO VALENZUELA CARRIZO</v>
      </c>
      <c r="D36" s="58"/>
      <c r="E36" s="58"/>
      <c r="F36" s="58"/>
      <c r="G36" s="58"/>
      <c r="H36" s="58"/>
      <c r="I36" s="58"/>
      <c r="J36" s="58"/>
      <c r="K36" s="59"/>
    </row>
    <row r="37" spans="1:11" ht="15.75" customHeight="1" x14ac:dyDescent="0.3">
      <c r="A37" s="69"/>
      <c r="B37" s="56"/>
      <c r="C37" s="60"/>
      <c r="D37" s="61"/>
      <c r="E37" s="61"/>
      <c r="F37" s="61"/>
      <c r="G37" s="61"/>
      <c r="H37" s="61"/>
      <c r="I37" s="61"/>
      <c r="J37" s="61"/>
      <c r="K37" s="62"/>
    </row>
    <row r="38" spans="1:11" ht="15.75" customHeight="1" x14ac:dyDescent="0.3">
      <c r="A38" s="69"/>
      <c r="B38" s="15" t="s">
        <v>17</v>
      </c>
      <c r="C38" s="63" t="s">
        <v>10</v>
      </c>
      <c r="D38" s="64" t="s">
        <v>11</v>
      </c>
      <c r="E38" s="65"/>
      <c r="F38" s="65"/>
      <c r="G38" s="65"/>
      <c r="H38" s="65"/>
      <c r="I38" s="65"/>
      <c r="J38" s="65"/>
      <c r="K38" s="66"/>
    </row>
    <row r="39" spans="1:11" ht="15.75" customHeight="1" x14ac:dyDescent="0.3">
      <c r="A39" s="69"/>
      <c r="B39" s="16" t="s">
        <v>12</v>
      </c>
      <c r="C39" s="56"/>
      <c r="D39" s="64" t="s">
        <v>5</v>
      </c>
      <c r="E39" s="66"/>
      <c r="F39" s="64" t="s">
        <v>6</v>
      </c>
      <c r="G39" s="66"/>
      <c r="H39" s="67" t="s">
        <v>27</v>
      </c>
      <c r="I39" s="66"/>
      <c r="J39" s="64" t="s">
        <v>7</v>
      </c>
      <c r="K39" s="66"/>
    </row>
    <row r="40" spans="1:11" ht="15.75" customHeight="1" x14ac:dyDescent="0.3">
      <c r="A40" s="69"/>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9"/>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9"/>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9"/>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6"/>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8" t="s">
        <v>15</v>
      </c>
      <c r="B47" s="55" t="s">
        <v>16</v>
      </c>
      <c r="C47" s="57" t="str">
        <f>B6</f>
        <v>IVAN JAVIER DIAZ VEGA</v>
      </c>
      <c r="D47" s="58"/>
      <c r="E47" s="58"/>
      <c r="F47" s="58"/>
      <c r="G47" s="58"/>
      <c r="H47" s="58"/>
      <c r="I47" s="58"/>
      <c r="J47" s="58"/>
      <c r="K47" s="59"/>
    </row>
    <row r="48" spans="1:11" ht="15.75" customHeight="1" x14ac:dyDescent="0.3">
      <c r="A48" s="69"/>
      <c r="B48" s="56"/>
      <c r="C48" s="60"/>
      <c r="D48" s="61"/>
      <c r="E48" s="61"/>
      <c r="F48" s="61"/>
      <c r="G48" s="61"/>
      <c r="H48" s="61"/>
      <c r="I48" s="61"/>
      <c r="J48" s="61"/>
      <c r="K48" s="62"/>
    </row>
    <row r="49" spans="1:11" ht="15.75" customHeight="1" x14ac:dyDescent="0.3">
      <c r="A49" s="69"/>
      <c r="B49" s="15" t="s">
        <v>17</v>
      </c>
      <c r="C49" s="63" t="s">
        <v>10</v>
      </c>
      <c r="D49" s="64" t="s">
        <v>11</v>
      </c>
      <c r="E49" s="65"/>
      <c r="F49" s="65"/>
      <c r="G49" s="65"/>
      <c r="H49" s="65"/>
      <c r="I49" s="65"/>
      <c r="J49" s="65"/>
      <c r="K49" s="66"/>
    </row>
    <row r="50" spans="1:11" ht="15.75" customHeight="1" x14ac:dyDescent="0.3">
      <c r="A50" s="69"/>
      <c r="B50" s="16" t="s">
        <v>12</v>
      </c>
      <c r="C50" s="56"/>
      <c r="D50" s="64" t="s">
        <v>5</v>
      </c>
      <c r="E50" s="66"/>
      <c r="F50" s="64" t="s">
        <v>6</v>
      </c>
      <c r="G50" s="66"/>
      <c r="H50" s="67" t="s">
        <v>27</v>
      </c>
      <c r="I50" s="66"/>
      <c r="J50" s="64" t="s">
        <v>7</v>
      </c>
      <c r="K50" s="66"/>
    </row>
    <row r="51" spans="1:11" ht="15.75" customHeight="1" x14ac:dyDescent="0.3">
      <c r="A51" s="69"/>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9"/>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9"/>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9"/>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6"/>
      <c r="B55" s="18" t="s">
        <v>13</v>
      </c>
      <c r="C55" s="21">
        <f>VLOOKUP(C54,ESCALA_TRAB_EQUIP!A1:B52,2,FALSE)</f>
        <v>7</v>
      </c>
    </row>
    <row r="56" spans="1:11" ht="15.75" customHeight="1" x14ac:dyDescent="0.35">
      <c r="B56" s="23"/>
      <c r="C56" s="24"/>
    </row>
    <row r="57" spans="1:11" ht="15.75" customHeight="1" x14ac:dyDescent="0.3"/>
    <row r="58" spans="1:11" ht="15.75" customHeight="1" x14ac:dyDescent="0.3">
      <c r="B58" s="75" t="s">
        <v>79</v>
      </c>
    </row>
    <row r="59" spans="1:11" ht="15.75" customHeight="1" x14ac:dyDescent="0.3">
      <c r="B59" s="51" t="s">
        <v>80</v>
      </c>
    </row>
    <row r="60" spans="1:11" ht="15.75" customHeight="1" x14ac:dyDescent="0.3">
      <c r="B60" s="50" t="s">
        <v>81</v>
      </c>
    </row>
    <row r="61" spans="1:11" ht="15.75" customHeight="1" x14ac:dyDescent="0.3">
      <c r="B61" s="50" t="s">
        <v>82</v>
      </c>
    </row>
    <row r="62" spans="1:11" ht="15.75" customHeight="1" x14ac:dyDescent="0.3">
      <c r="B62" s="50" t="s">
        <v>83</v>
      </c>
    </row>
    <row r="63" spans="1:11" ht="15.75" customHeight="1" x14ac:dyDescent="0.3">
      <c r="B63" s="50" t="s">
        <v>84</v>
      </c>
    </row>
    <row r="64" spans="1:11" ht="15.75" customHeight="1" x14ac:dyDescent="0.3">
      <c r="B64" s="50"/>
    </row>
    <row r="65" spans="2:2" ht="15.75" customHeight="1" x14ac:dyDescent="0.3">
      <c r="B65" s="50"/>
    </row>
    <row r="66" spans="2:2" ht="15.75" customHeight="1" x14ac:dyDescent="0.3"/>
    <row r="67" spans="2:2" ht="15.75" customHeight="1" x14ac:dyDescent="0.3"/>
    <row r="68" spans="2:2" ht="15.75" customHeight="1" x14ac:dyDescent="0.3"/>
    <row r="69" spans="2:2" ht="15.75" customHeight="1" x14ac:dyDescent="0.3"/>
    <row r="70" spans="2:2" ht="15.75" customHeight="1" x14ac:dyDescent="0.3"/>
    <row r="71" spans="2:2" ht="15.75" customHeight="1" x14ac:dyDescent="0.3"/>
    <row r="72" spans="2:2" ht="15.75" customHeight="1" x14ac:dyDescent="0.3"/>
    <row r="73" spans="2:2" ht="15.75" customHeight="1" x14ac:dyDescent="0.3"/>
    <row r="74" spans="2:2" ht="15.75" customHeight="1" x14ac:dyDescent="0.3"/>
    <row r="75" spans="2:2" ht="15.75" customHeight="1" x14ac:dyDescent="0.3"/>
    <row r="76" spans="2:2" ht="15.75" customHeight="1" x14ac:dyDescent="0.3"/>
    <row r="77" spans="2:2" ht="15.75" customHeight="1" x14ac:dyDescent="0.3"/>
    <row r="78" spans="2:2" ht="15.75" customHeight="1" x14ac:dyDescent="0.3"/>
    <row r="79" spans="2:2" ht="15.75" customHeight="1" x14ac:dyDescent="0.3"/>
    <row r="80" spans="2:2"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3" t="s">
        <v>3</v>
      </c>
      <c r="B1" s="7" t="s">
        <v>4</v>
      </c>
      <c r="C1" s="8"/>
      <c r="D1" s="8"/>
      <c r="E1" s="9"/>
    </row>
    <row r="2" spans="1:5" ht="43.8" thickBot="1" x14ac:dyDescent="0.35">
      <c r="A2" s="74"/>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2025-11-21T23:11:19Z</dcterms:modified>
</cp:coreProperties>
</file>