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uri\OneDrive\Desktop\PERSONAL MFC\DUOC\2025\Semestre 2\PTY4614 - CAPSTONE\02 Fases\007V\Grupo 7\Fase 2\Evidencias Grupales\"/>
    </mc:Choice>
  </mc:AlternateContent>
  <bookViews>
    <workbookView xWindow="0" yWindow="0" windowWidth="23040" windowHeight="9072"/>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E14" i="1" l="1"/>
  <c r="D15" i="1"/>
  <c r="E15" i="1" s="1"/>
  <c r="E16" i="1"/>
  <c r="D17" i="1"/>
  <c r="E17" i="1" s="1"/>
  <c r="E18" i="1"/>
  <c r="D19" i="1"/>
  <c r="E19" i="1" s="1"/>
  <c r="F20" i="1"/>
  <c r="G20" i="1" s="1"/>
  <c r="F17" i="1" l="1"/>
  <c r="G17" i="1" s="1"/>
  <c r="H17" i="1"/>
  <c r="I17" i="1" s="1"/>
  <c r="J17" i="1"/>
  <c r="K17" i="1" s="1"/>
  <c r="K20" i="1"/>
  <c r="H20" i="1"/>
  <c r="I20" i="1" s="1"/>
  <c r="E20" i="1"/>
  <c r="J19" i="1"/>
  <c r="K19" i="1" s="1"/>
  <c r="H19" i="1"/>
  <c r="I19" i="1" s="1"/>
  <c r="F19" i="1"/>
  <c r="G19" i="1" s="1"/>
  <c r="J18" i="1"/>
  <c r="K18" i="1" s="1"/>
  <c r="I18" i="1"/>
  <c r="F18" i="1"/>
  <c r="G18" i="1" s="1"/>
  <c r="K16" i="1"/>
  <c r="H16" i="1"/>
  <c r="I16" i="1" s="1"/>
  <c r="F16" i="1"/>
  <c r="G16" i="1" s="1"/>
  <c r="J15" i="1"/>
  <c r="K15" i="1" s="1"/>
  <c r="H15" i="1"/>
  <c r="I15" i="1" s="1"/>
  <c r="F15" i="1"/>
  <c r="G15" i="1" s="1"/>
  <c r="J14" i="1"/>
  <c r="I14" i="1"/>
  <c r="F14" i="1"/>
  <c r="G14" i="1" s="1"/>
  <c r="E21" i="1" l="1"/>
  <c r="G21" i="1"/>
  <c r="I21" i="1"/>
  <c r="K14" i="1"/>
  <c r="K21" i="1" l="1"/>
  <c r="C21" i="1" s="1"/>
  <c r="C22" i="1" s="1"/>
  <c r="C6" i="1" l="1"/>
  <c r="C5" i="1"/>
  <c r="C4" i="1"/>
</calcChain>
</file>

<file path=xl/sharedStrings.xml><?xml version="1.0" encoding="utf-8"?>
<sst xmlns="http://schemas.openxmlformats.org/spreadsheetml/2006/main" count="89" uniqueCount="67">
  <si>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</si>
  <si>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</si>
  <si>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</si>
  <si>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</si>
  <si>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</si>
  <si>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</si>
  <si>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</si>
  <si>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</si>
  <si>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</si>
  <si>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</si>
  <si>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</si>
  <si>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</si>
  <si>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</si>
  <si>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</si>
  <si>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</si>
  <si>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</si>
  <si>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</si>
  <si>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</si>
  <si>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</si>
  <si>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</si>
  <si>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</si>
  <si>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</si>
  <si>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</si>
  <si>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</si>
  <si>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</si>
  <si>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</si>
  <si>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</si>
  <si>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</si>
  <si>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</si>
  <si>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</si>
  <si>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</si>
  <si>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</si>
  <si>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</si>
  <si>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</si>
  <si>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</si>
  <si>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</si>
  <si>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</si>
  <si>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</si>
  <si>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</si>
  <si>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</si>
  <si>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</si>
  <si>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</si>
  <si>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</si>
  <si>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</si>
  <si>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</si>
  <si>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</si>
  <si>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</si>
  <si>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</si>
  <si>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</si>
  <si>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</si>
  <si>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</si>
  <si>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</si>
  <si>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</si>
  <si>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</si>
  <si>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</si>
  <si>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</si>
  <si>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</si>
  <si>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</si>
  <si>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</si>
  <si>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</si>
  <si>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</si>
  <si>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</si>
  <si>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</si>
  <si>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ALEJANDRO IGNACIO TRONCOSO VICUNA</t>
  </si>
  <si>
    <t>DIEGO VALENZUELA CARRIZO</t>
  </si>
  <si>
    <t>IVAN JAVIER DIAZ VEGA</t>
  </si>
  <si>
    <t>Siendo las 19:31 el equipo no se ha hecho presente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</si>
</sst>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20" fontId="16" fillId="0" borderId="0" xfId="0" applyNumberFormat="1" applyFont="1" applyAlignment="1">
      <alignment horizontal="right"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5"/>
  <sheetViews>
    <sheetView tabSelected="1" topLeftCell="A4" zoomScaleNormal="100" workbookViewId="0">
      <selection activeCell="H15" sqref="H15"/>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s="25" t="s">
        <v>63</v>
      </c>
      <c r="C4" s="5">
        <f>EVALUACION2!$C$22</f>
        <v>4.3</v>
      </c>
      <c r="G4" s="1"/>
    </row>
    <row r="5" spans="1:11" ht="14.4" x14ac:dyDescent="0.3">
      <c r="A5" s="4">
        <v>2</v>
      </c>
      <c r="B5" s="25" t="s">
        <v>64</v>
      </c>
      <c r="C5" s="5">
        <f>EVALUACION2!$C$22</f>
        <v>4.3</v>
      </c>
      <c r="G5" s="1"/>
    </row>
    <row r="6" spans="1:11" ht="14.4" x14ac:dyDescent="0.3">
      <c r="A6" s="4">
        <v>3</v>
      </c>
      <c r="B6" s="25" t="s">
        <v>65</v>
      </c>
      <c r="C6" s="5">
        <f>EVALUACION2!$C$22</f>
        <v>4.3</v>
      </c>
      <c r="G6" s="1"/>
    </row>
    <row r="11" spans="1:11" ht="18" outlineLevel="1" x14ac:dyDescent="0.3">
      <c r="A11" s="42" t="s">
        <v>9</v>
      </c>
      <c r="B11" s="14"/>
      <c r="C11" s="46" t="s">
        <v>10</v>
      </c>
      <c r="D11" s="47" t="s">
        <v>11</v>
      </c>
      <c r="E11" s="49"/>
      <c r="F11" s="49"/>
      <c r="G11" s="49"/>
      <c r="H11" s="49"/>
      <c r="I11" s="49"/>
      <c r="J11" s="49"/>
      <c r="K11" s="48"/>
    </row>
    <row r="12" spans="1:11" ht="14.4" outlineLevel="1" x14ac:dyDescent="0.3">
      <c r="A12" s="43"/>
      <c r="B12" s="20" t="s">
        <v>12</v>
      </c>
      <c r="C12" s="45"/>
      <c r="D12" s="47" t="s">
        <v>5</v>
      </c>
      <c r="E12" s="48"/>
      <c r="F12" s="47" t="s">
        <v>6</v>
      </c>
      <c r="G12" s="48"/>
      <c r="H12" s="50" t="s">
        <v>23</v>
      </c>
      <c r="I12" s="48"/>
      <c r="J12" s="47" t="s">
        <v>7</v>
      </c>
      <c r="K12" s="48"/>
    </row>
    <row r="13" spans="1:11" ht="24" outlineLevel="1" x14ac:dyDescent="0.3">
      <c r="A13" s="44"/>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44"/>
      <c r="B14" s="28" t="str">
        <f>RUBRICA!A5</f>
        <v>2. Aplica una metodología que permite el logro de los objetivos propuestos, de acuerdo a los estándares de la disciplina.</v>
      </c>
      <c r="C14" s="26" t="s">
        <v>5</v>
      </c>
      <c r="D14" s="15"/>
      <c r="E14" s="15" t="str">
        <f>IF(D14="X",100*0.1,"")</f>
        <v/>
      </c>
      <c r="F14" s="15" t="str">
        <f t="shared" si="1"/>
        <v/>
      </c>
      <c r="G14" s="15" t="str">
        <f>IF(F14="X",60*0.1,"")</f>
        <v/>
      </c>
      <c r="H14" s="15" t="s">
        <v>41</v>
      </c>
      <c r="I14" s="15">
        <f>IF(H14="X",30*0.1,"")</f>
        <v>3</v>
      </c>
      <c r="J14" s="15" t="str">
        <f t="shared" si="3"/>
        <v/>
      </c>
      <c r="K14" s="15" t="str">
        <f t="shared" si="4"/>
        <v/>
      </c>
    </row>
    <row r="15" spans="1:11" ht="36" outlineLevel="1" x14ac:dyDescent="0.3">
      <c r="A15" s="44"/>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3">
      <c r="A16" s="44"/>
      <c r="B16" s="28" t="str">
        <f>RUBRICA!A7</f>
        <v>4. Utiliza de manera precisa el lenguaje técnico en los entregables de acuerdo con lo requerido por la disciplina.</v>
      </c>
      <c r="C16" s="26" t="s">
        <v>5</v>
      </c>
      <c r="D16" s="15"/>
      <c r="E16" s="15" t="str">
        <f>IF(D16="X",100*0.05,"")</f>
        <v/>
      </c>
      <c r="F16" s="15" t="str">
        <f t="shared" si="1"/>
        <v/>
      </c>
      <c r="G16" s="15" t="str">
        <f>IF(F16="X",60*0.05,"")</f>
        <v/>
      </c>
      <c r="H16" s="15" t="str">
        <f t="shared" si="2"/>
        <v/>
      </c>
      <c r="I16" s="15" t="str">
        <f>IF(H16="X",30*0.05,"")</f>
        <v/>
      </c>
      <c r="J16" s="15" t="s">
        <v>41</v>
      </c>
      <c r="K16" s="15">
        <f t="shared" si="4"/>
        <v>0</v>
      </c>
    </row>
    <row r="17" spans="1:11" ht="24" outlineLevel="1" x14ac:dyDescent="0.3">
      <c r="A17" s="44"/>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x14ac:dyDescent="0.3">
      <c r="A18" s="44"/>
      <c r="B18" s="28" t="str">
        <f>RUBRICA!A9</f>
        <v>6. Entrega la documentación y evidencias requerida por la asignatura de acuerdo a la estrucutra y nombres solicitados, guardando todas las evidencias de avances en Git</v>
      </c>
      <c r="C18" s="26" t="s">
        <v>5</v>
      </c>
      <c r="D18" s="15"/>
      <c r="E18" s="15" t="str">
        <f>IF(D18="X",100*0.2,"")</f>
        <v/>
      </c>
      <c r="F18" s="15" t="str">
        <f>IF($C18=L,"X","")</f>
        <v/>
      </c>
      <c r="G18" s="15" t="str">
        <f>IF(F18="X",60*0.2,"")</f>
        <v/>
      </c>
      <c r="H18" s="15" t="s">
        <v>41</v>
      </c>
      <c r="I18" s="15">
        <f>IF(H18="X",30*0.2,"")</f>
        <v>6</v>
      </c>
      <c r="J18" s="15" t="str">
        <f>IF($C18=NL,"X","")</f>
        <v/>
      </c>
      <c r="K18" s="15" t="str">
        <f t="shared" ref="K18:K20" si="5">IF($J18="X",0,"")</f>
        <v/>
      </c>
    </row>
    <row r="19" spans="1:11" ht="36" outlineLevel="1" x14ac:dyDescent="0.3">
      <c r="A19" s="44"/>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3">
      <c r="A20" s="44"/>
      <c r="B20" s="28" t="str">
        <f>RUBRICA!A11</f>
        <v>8. Demuestra un trabajo en equipo en donde todos los miembros del equipo expresan con fluidez el conocimiento del tema expuesto y  participan de las actividades planificadas en el proyecto</v>
      </c>
      <c r="C20" s="26" t="s">
        <v>5</v>
      </c>
      <c r="D20" s="15"/>
      <c r="E20" s="15" t="str">
        <f>IF(D20="X",100*0.1,"")</f>
        <v/>
      </c>
      <c r="F20" s="15" t="str">
        <f>IF($C20=L,"X","")</f>
        <v/>
      </c>
      <c r="G20" s="15" t="str">
        <f>IF(F20="X",60*0.1,"")</f>
        <v/>
      </c>
      <c r="H20" s="15" t="str">
        <f>IF($C20=ML,"X","")</f>
        <v/>
      </c>
      <c r="I20" s="15" t="str">
        <f>IF(H20="X",30*0.1,"")</f>
        <v/>
      </c>
      <c r="J20" s="15" t="s">
        <v>41</v>
      </c>
      <c r="K20" s="15">
        <f t="shared" si="5"/>
        <v>0</v>
      </c>
    </row>
    <row r="21" spans="1:11" ht="15.75" customHeight="1" outlineLevel="1" x14ac:dyDescent="0.35">
      <c r="A21" s="43"/>
      <c r="B21" s="27" t="s">
        <v>4</v>
      </c>
      <c r="C21" s="31">
        <f>E21+G21+I21+K21</f>
        <v>64</v>
      </c>
      <c r="D21" s="16"/>
      <c r="E21" s="16">
        <f>SUM(E13:E20)</f>
        <v>55</v>
      </c>
      <c r="F21" s="16"/>
      <c r="G21" s="16">
        <f>SUM(G13:G20)</f>
        <v>0</v>
      </c>
      <c r="H21" s="16"/>
      <c r="I21" s="16">
        <f>SUM(I13:I20)</f>
        <v>9</v>
      </c>
      <c r="J21" s="16"/>
      <c r="K21" s="16">
        <f>SUM(K13:K20)</f>
        <v>0</v>
      </c>
    </row>
    <row r="22" spans="1:11" ht="15.75" customHeight="1" outlineLevel="1" x14ac:dyDescent="0.35">
      <c r="A22" s="45"/>
      <c r="B22" s="30" t="s">
        <v>13</v>
      </c>
      <c r="C22" s="17">
        <f>VLOOKUP(C21,ESCALA_IEP!A2:B202,2,FALSE)</f>
        <v>4.3</v>
      </c>
    </row>
    <row r="23" spans="1:11" ht="15.75" customHeight="1" x14ac:dyDescent="0.3">
      <c r="D23" t="s">
        <v>41</v>
      </c>
    </row>
    <row r="24" spans="1:11" ht="48" customHeight="1" x14ac:dyDescent="0.3">
      <c r="B24" s="34"/>
    </row>
    <row r="25" spans="1:11" ht="15.75" customHeight="1" x14ac:dyDescent="0.35">
      <c r="B25" s="18" t="s">
        <v>66</v>
      </c>
      <c r="C25" s="19"/>
    </row>
    <row r="26" spans="1:11" ht="31.2" customHeight="1" x14ac:dyDescent="0.3">
      <c r="B26" s="41">
        <v>0.81805555555555554</v>
      </c>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51" t="s">
        <v>14</v>
      </c>
      <c r="B1" s="53" t="s">
        <v>15</v>
      </c>
      <c r="C1" s="54"/>
      <c r="D1" s="54"/>
      <c r="E1" s="55"/>
      <c r="F1" s="51" t="s">
        <v>16</v>
      </c>
    </row>
    <row r="2" spans="1:6" x14ac:dyDescent="0.3">
      <c r="A2" s="52"/>
      <c r="B2" s="57" t="s">
        <v>25</v>
      </c>
      <c r="C2" s="57" t="s">
        <v>17</v>
      </c>
      <c r="D2" s="21" t="s">
        <v>18</v>
      </c>
      <c r="E2" s="22" t="s">
        <v>7</v>
      </c>
      <c r="F2" s="52"/>
    </row>
    <row r="3" spans="1:6" ht="15" thickBot="1" x14ac:dyDescent="0.35">
      <c r="A3" s="52"/>
      <c r="B3" s="58"/>
      <c r="C3" s="58"/>
      <c r="D3" s="36">
        <v>-0.3</v>
      </c>
      <c r="E3" s="36">
        <v>0</v>
      </c>
      <c r="F3" s="56"/>
    </row>
    <row r="4" spans="1:6" ht="55.8" thickBot="1" x14ac:dyDescent="0.35">
      <c r="A4" s="39" t="s">
        <v>26</v>
      </c>
      <c r="B4" s="24" t="s">
        <v>27</v>
      </c>
      <c r="C4" s="24" t="s">
        <v>28</v>
      </c>
      <c r="D4" s="24" t="s">
        <v>29</v>
      </c>
      <c r="E4" s="24" t="s">
        <v>30</v>
      </c>
      <c r="F4" s="23">
        <v>10</v>
      </c>
    </row>
    <row r="5" spans="1:6" ht="55.8" thickBot="1" x14ac:dyDescent="0.35">
      <c r="A5" s="39" t="s">
        <v>31</v>
      </c>
      <c r="B5" s="24" t="s">
        <v>42</v>
      </c>
      <c r="C5" s="24" t="s">
        <v>32</v>
      </c>
      <c r="D5" s="24" t="s">
        <v>33</v>
      </c>
      <c r="E5" s="24" t="s">
        <v>34</v>
      </c>
      <c r="F5" s="23">
        <v>10</v>
      </c>
    </row>
    <row r="6" spans="1:6" ht="97.2" thickBot="1" x14ac:dyDescent="0.35">
      <c r="A6" s="39" t="s">
        <v>43</v>
      </c>
      <c r="B6" s="24" t="s">
        <v>44</v>
      </c>
      <c r="C6" s="24" t="s">
        <v>45</v>
      </c>
      <c r="D6" s="24" t="s">
        <v>46</v>
      </c>
      <c r="E6" s="24" t="s">
        <v>47</v>
      </c>
      <c r="F6" s="23">
        <v>25</v>
      </c>
    </row>
    <row r="7" spans="1:6" ht="42" thickBot="1" x14ac:dyDescent="0.35">
      <c r="A7" s="39" t="s">
        <v>48</v>
      </c>
      <c r="B7" s="24" t="s">
        <v>49</v>
      </c>
      <c r="C7" s="24" t="s">
        <v>50</v>
      </c>
      <c r="D7" s="24" t="s">
        <v>51</v>
      </c>
      <c r="E7" s="24" t="s">
        <v>52</v>
      </c>
      <c r="F7" s="23">
        <v>5</v>
      </c>
    </row>
    <row r="8" spans="1:6" ht="55.2" x14ac:dyDescent="0.3">
      <c r="A8" s="39" t="s">
        <v>35</v>
      </c>
      <c r="B8" s="24" t="s">
        <v>22</v>
      </c>
      <c r="C8" s="24" t="s">
        <v>19</v>
      </c>
      <c r="D8" s="24" t="s">
        <v>20</v>
      </c>
      <c r="E8" s="24" t="s">
        <v>21</v>
      </c>
      <c r="F8" s="37">
        <v>5</v>
      </c>
    </row>
    <row r="9" spans="1:6" ht="55.8" thickBot="1" x14ac:dyDescent="0.35">
      <c r="A9" s="39" t="s">
        <v>53</v>
      </c>
      <c r="B9" s="24" t="s">
        <v>54</v>
      </c>
      <c r="C9" s="24" t="s">
        <v>55</v>
      </c>
      <c r="D9" s="24" t="s">
        <v>56</v>
      </c>
      <c r="E9" s="24" t="s">
        <v>57</v>
      </c>
      <c r="F9" s="23">
        <v>20</v>
      </c>
    </row>
    <row r="10" spans="1:6" ht="69.599999999999994" thickBot="1" x14ac:dyDescent="0.35">
      <c r="A10" s="40" t="s">
        <v>58</v>
      </c>
      <c r="B10" s="38" t="s">
        <v>59</v>
      </c>
      <c r="C10" s="38" t="s">
        <v>60</v>
      </c>
      <c r="D10" s="38" t="s">
        <v>61</v>
      </c>
      <c r="E10" s="38" t="s">
        <v>62</v>
      </c>
      <c r="F10" s="32">
        <v>15</v>
      </c>
    </row>
    <row r="11" spans="1:6" ht="81.599999999999994" customHeight="1" x14ac:dyDescent="0.3">
      <c r="A11" s="39"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9" t="s">
        <v>3</v>
      </c>
      <c r="B1" s="6" t="s">
        <v>4</v>
      </c>
      <c r="C1" s="7"/>
      <c r="D1" s="7"/>
      <c r="E1" s="8"/>
    </row>
    <row r="2" spans="1:5" ht="43.8" thickBot="1" x14ac:dyDescent="0.35">
      <c r="A2" s="60"/>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Mauricio Figueroa</cp:lastModifiedBy>
  <dcterms:created xsi:type="dcterms:W3CDTF">2023-08-07T04:08:01Z</dcterms:created>
  <dcterms:modified xsi:type="dcterms:W3CDTF">2025-11-04T13:28:48Z</dcterms:modified>
</cp:coreProperties>
</file>