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horas" sheetId="1" r:id="rId4"/>
    <sheet state="visible" name="Presupuesto equipo" sheetId="2" r:id="rId5"/>
    <sheet state="visible" name="Configuración" sheetId="3" r:id="rId6"/>
  </sheets>
  <definedNames/>
  <calcPr/>
</workbook>
</file>

<file path=xl/sharedStrings.xml><?xml version="1.0" encoding="utf-8"?>
<sst xmlns="http://schemas.openxmlformats.org/spreadsheetml/2006/main" count="59" uniqueCount="52">
  <si>
    <t>Categoría</t>
  </si>
  <si>
    <t>Horas Estimadas</t>
  </si>
  <si>
    <t>UF/Hora Equipo</t>
  </si>
  <si>
    <t>Subtotal (UF)</t>
  </si>
  <si>
    <t>Valor UF (CLP)</t>
  </si>
  <si>
    <t>Subtotal CLP</t>
  </si>
  <si>
    <t>Sprint 0 – Setup y documentación</t>
  </si>
  <si>
    <t>Sprint 1 – Autenticación y mapa base</t>
  </si>
  <si>
    <t>Sprint 2 – Eventos y favoritos</t>
  </si>
  <si>
    <t>Sprint 3 – CRUD organizador</t>
  </si>
  <si>
    <t>Sprint 4 – Filtros y moderación básica</t>
  </si>
  <si>
    <t>Sprint 5 – Notificaciones y moderación avanzada</t>
  </si>
  <si>
    <t>Sprint 6 – Rutas e IA resúmenes</t>
  </si>
  <si>
    <t>Sprint 7 – Validación y QA final</t>
  </si>
  <si>
    <t>Total general (equipo)</t>
  </si>
  <si>
    <t>Recurso</t>
  </si>
  <si>
    <t>Descripción</t>
  </si>
  <si>
    <t>Cantidad</t>
  </si>
  <si>
    <t>Valor Unitario (UF)</t>
  </si>
  <si>
    <t>Total (UF)</t>
  </si>
  <si>
    <t>Total (CLP)</t>
  </si>
  <si>
    <t>Notebook desarrollo</t>
  </si>
  <si>
    <t>Equipo de desarrollo</t>
  </si>
  <si>
    <t>Smartphone test</t>
  </si>
  <si>
    <t>Android + iPhone</t>
  </si>
  <si>
    <t>Google Play Developer</t>
  </si>
  <si>
    <t>Licencia única</t>
  </si>
  <si>
    <t>Licencia Mapbox (3 meses)</t>
  </si>
  <si>
    <t>API Maps &amp; Routes</t>
  </si>
  <si>
    <t>GitHub Pro</t>
  </si>
  <si>
    <t>CI/CD + repositorio</t>
  </si>
  <si>
    <t xml:space="preserve">API IA </t>
  </si>
  <si>
    <t>Generador de resúmenes automáticos</t>
  </si>
  <si>
    <t>Total Equipamiento y Licencias</t>
  </si>
  <si>
    <t>—</t>
  </si>
  <si>
    <t>Variable</t>
  </si>
  <si>
    <t>Valor</t>
  </si>
  <si>
    <t>UF por hora (equipo)</t>
  </si>
  <si>
    <t>Valor estimado de la hora total del equipo</t>
  </si>
  <si>
    <t>Valor actual (ajustable)</t>
  </si>
  <si>
    <t>Número de integrantes</t>
  </si>
  <si>
    <t>Miembros del equipo</t>
  </si>
  <si>
    <t>Total horas estimadas</t>
  </si>
  <si>
    <t>Total del proyecto</t>
  </si>
  <si>
    <t>Total sprints</t>
  </si>
  <si>
    <t>Sprints planificados</t>
  </si>
  <si>
    <t>Fecha de inicio</t>
  </si>
  <si>
    <t>Inicio del proyecto</t>
  </si>
  <si>
    <t>Fecha de término</t>
  </si>
  <si>
    <t>Fin estimado</t>
  </si>
  <si>
    <t>Total presupuesto</t>
  </si>
  <si>
    <t>Total 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</si>
</sst>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dd/mm/yyyy"/>
    <numFmt numFmtId="166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DD9D4"/>
        <bgColor rgb="FFCDD9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shrinkToFit="0" vertical="center" wrapText="1"/>
    </xf>
    <xf borderId="0" fillId="0" fontId="2" numFmtId="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4" xfId="0" applyFont="1" applyNumberForma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4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2">
    <tableStyle count="4" pivot="0" name="Presupuesto ho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resupuesto equipo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Presupuesto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25"/>
            <c:spPr>
              <a:solidFill>
                <a:srgbClr val="CCCCCC"/>
              </a:solidFill>
            </c:spPr>
          </c:dPt>
          <c:dPt>
            <c:idx val="1"/>
            <c:explosion val="0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'Configuración'!$B$9:$B$10</c:f>
            </c:strRef>
          </c:cat>
          <c:val>
            <c:numRef>
              <c:f>'Configuración'!$B$9:$B$10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0</xdr:rowOff>
    </xdr:from>
    <xdr:ext cx="4419600" cy="2724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" displayName="Presupuesto" name="Presupuesto" id="1">
  <tableColumns count="6">
    <tableColumn name="Categoría" id="1"/>
    <tableColumn name="Horas Estimadas" id="2"/>
    <tableColumn name="UF/Hora Equipo" id="3"/>
    <tableColumn name="Subtotal (UF)" id="4"/>
    <tableColumn name="Valor UF (CLP)" id="5"/>
    <tableColumn name="Subtotal CLP" id="6"/>
  </tableColumns>
  <tableStyleInfo name="Presupuesto hora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G8" displayName="Equipo_y_licencias" name="Equipo_y_licencias" id="2">
  <tableColumns count="7">
    <tableColumn totalsRowLabel="Total Equipamiento y Licencias" name="Recurso" id="1"/>
    <tableColumn totalsRowLabel="—" name="Descripción" id="2"/>
    <tableColumn totalsRowLabel="—" name="Cantidad" id="3"/>
    <tableColumn totalsRowLabel="—" name="Valor Unitario (UF)" id="4"/>
    <tableColumn totalsRowFunction="custom" name="Total (UF)" id="5"/>
    <tableColumn totalsRowFunction="custom" name="Valor UF (CLP)" id="6"/>
    <tableColumn totalsRowFunction="custom" name="Total (CLP)" id="7"/>
  </tableColumns>
  <tableStyleInfo name="Presupuesto equip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17.63"/>
    <col customWidth="1" min="3" max="4" width="15.0"/>
    <col customWidth="1" min="5" max="5" width="15.13"/>
    <col customWidth="1" min="6" max="6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>
        <v>75.0</v>
      </c>
      <c r="C2" s="5">
        <f>'Configuración'!B2</f>
        <v>1</v>
      </c>
      <c r="D2" s="5">
        <f t="shared" ref="D2:D9" si="1">B2*C2</f>
        <v>75</v>
      </c>
      <c r="E2" s="6">
        <f>'Configuración'!B3</f>
        <v>37000</v>
      </c>
      <c r="F2" s="6">
        <f t="shared" ref="F2:F9" si="2">D2*E2</f>
        <v>2775000</v>
      </c>
      <c r="G2" s="7"/>
    </row>
    <row r="3">
      <c r="A3" s="3" t="s">
        <v>7</v>
      </c>
      <c r="B3" s="4">
        <v>105.0</v>
      </c>
      <c r="C3" s="5">
        <f>'Configuración'!B2</f>
        <v>1</v>
      </c>
      <c r="D3" s="5">
        <f t="shared" si="1"/>
        <v>105</v>
      </c>
      <c r="E3" s="6">
        <f>'Configuración'!B3</f>
        <v>37000</v>
      </c>
      <c r="F3" s="6">
        <f t="shared" si="2"/>
        <v>3885000</v>
      </c>
      <c r="G3" s="7"/>
    </row>
    <row r="4">
      <c r="A4" s="3" t="s">
        <v>8</v>
      </c>
      <c r="B4" s="4">
        <v>120.0</v>
      </c>
      <c r="C4" s="5">
        <f>'Configuración'!B2</f>
        <v>1</v>
      </c>
      <c r="D4" s="5">
        <f t="shared" si="1"/>
        <v>120</v>
      </c>
      <c r="E4" s="6">
        <f>'Configuración'!B3</f>
        <v>37000</v>
      </c>
      <c r="F4" s="6">
        <f t="shared" si="2"/>
        <v>4440000</v>
      </c>
      <c r="G4" s="7"/>
    </row>
    <row r="5">
      <c r="A5" s="3" t="s">
        <v>9</v>
      </c>
      <c r="B5" s="4">
        <v>105.0</v>
      </c>
      <c r="C5" s="5">
        <f>'Configuración'!B2</f>
        <v>1</v>
      </c>
      <c r="D5" s="5">
        <f t="shared" si="1"/>
        <v>105</v>
      </c>
      <c r="E5" s="6">
        <f>'Configuración'!B3</f>
        <v>37000</v>
      </c>
      <c r="F5" s="6">
        <f t="shared" si="2"/>
        <v>3885000</v>
      </c>
      <c r="G5" s="7"/>
    </row>
    <row r="6">
      <c r="A6" s="3" t="s">
        <v>10</v>
      </c>
      <c r="B6" s="4">
        <v>105.0</v>
      </c>
      <c r="C6" s="5">
        <f>'Configuración'!B2</f>
        <v>1</v>
      </c>
      <c r="D6" s="5">
        <f t="shared" si="1"/>
        <v>105</v>
      </c>
      <c r="E6" s="6">
        <f>'Configuración'!B3</f>
        <v>37000</v>
      </c>
      <c r="F6" s="6">
        <f t="shared" si="2"/>
        <v>3885000</v>
      </c>
      <c r="G6" s="7"/>
    </row>
    <row r="7">
      <c r="A7" s="3" t="s">
        <v>11</v>
      </c>
      <c r="B7" s="4">
        <v>105.0</v>
      </c>
      <c r="C7" s="5">
        <f>'Configuración'!B2</f>
        <v>1</v>
      </c>
      <c r="D7" s="5">
        <f t="shared" si="1"/>
        <v>105</v>
      </c>
      <c r="E7" s="6">
        <f>'Configuración'!B3</f>
        <v>37000</v>
      </c>
      <c r="F7" s="6">
        <f t="shared" si="2"/>
        <v>3885000</v>
      </c>
      <c r="G7" s="7"/>
    </row>
    <row r="8">
      <c r="A8" s="3" t="s">
        <v>12</v>
      </c>
      <c r="B8" s="4">
        <v>120.0</v>
      </c>
      <c r="C8" s="5">
        <f>'Configuración'!B2</f>
        <v>1</v>
      </c>
      <c r="D8" s="5">
        <f t="shared" si="1"/>
        <v>120</v>
      </c>
      <c r="E8" s="6">
        <f>'Configuración'!B3</f>
        <v>37000</v>
      </c>
      <c r="F8" s="6">
        <f t="shared" si="2"/>
        <v>4440000</v>
      </c>
      <c r="G8" s="7"/>
    </row>
    <row r="9">
      <c r="A9" s="3" t="s">
        <v>13</v>
      </c>
      <c r="B9" s="4">
        <v>105.0</v>
      </c>
      <c r="C9" s="5">
        <f>'Configuración'!B2</f>
        <v>1</v>
      </c>
      <c r="D9" s="5">
        <f t="shared" si="1"/>
        <v>105</v>
      </c>
      <c r="E9" s="6">
        <f>'Configuración'!B3</f>
        <v>37000</v>
      </c>
      <c r="F9" s="6">
        <f t="shared" si="2"/>
        <v>3885000</v>
      </c>
      <c r="G9" s="7"/>
    </row>
    <row r="10">
      <c r="A10" s="8" t="s">
        <v>14</v>
      </c>
      <c r="B10" s="9">
        <v>840.0</v>
      </c>
      <c r="C10" s="10"/>
      <c r="D10" s="11">
        <f>SUM(D2:D9)</f>
        <v>840</v>
      </c>
      <c r="E10" s="12"/>
      <c r="F10" s="12">
        <f>SUM(F2:F9)</f>
        <v>31080000</v>
      </c>
      <c r="G10" s="13"/>
    </row>
    <row r="11">
      <c r="A11" s="14"/>
      <c r="B11" s="14"/>
      <c r="C11" s="14"/>
      <c r="D11" s="7"/>
      <c r="E11" s="14"/>
      <c r="F11" s="7"/>
      <c r="G11" s="14"/>
    </row>
    <row r="12">
      <c r="A12" s="7"/>
      <c r="B12" s="7"/>
      <c r="C12" s="7"/>
      <c r="D12" s="7"/>
      <c r="E12" s="7"/>
      <c r="F12" s="7"/>
      <c r="G12" s="7"/>
    </row>
    <row r="13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15"/>
      <c r="F14" s="7"/>
      <c r="G14" s="7"/>
    </row>
    <row r="15">
      <c r="E15" s="16"/>
    </row>
  </sheetData>
  <dataValidations>
    <dataValidation type="custom" allowBlank="1" showDropDown="1" sqref="B2:F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13"/>
    <col customWidth="1" min="7" max="7" width="13.0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</v>
      </c>
      <c r="G1" s="1" t="s">
        <v>20</v>
      </c>
    </row>
    <row r="2">
      <c r="A2" s="3" t="s">
        <v>21</v>
      </c>
      <c r="B2" s="3" t="s">
        <v>22</v>
      </c>
      <c r="C2" s="17">
        <v>3.0</v>
      </c>
      <c r="D2" s="17">
        <v>20.0</v>
      </c>
      <c r="E2" s="18">
        <f t="shared" ref="E2:E7" si="1">C2*D2</f>
        <v>60</v>
      </c>
      <c r="F2" s="6">
        <f>'Configuración'!B3</f>
        <v>37000</v>
      </c>
      <c r="G2" s="6">
        <f t="shared" ref="G2:G7" si="2">E2*F2</f>
        <v>2220000</v>
      </c>
    </row>
    <row r="3">
      <c r="A3" s="3" t="s">
        <v>23</v>
      </c>
      <c r="B3" s="3" t="s">
        <v>24</v>
      </c>
      <c r="C3" s="17">
        <v>2.0</v>
      </c>
      <c r="D3" s="17">
        <v>10.0</v>
      </c>
      <c r="E3" s="18">
        <f t="shared" si="1"/>
        <v>20</v>
      </c>
      <c r="F3" s="6">
        <f>'Configuración'!B3</f>
        <v>37000</v>
      </c>
      <c r="G3" s="6">
        <f t="shared" si="2"/>
        <v>740000</v>
      </c>
    </row>
    <row r="4">
      <c r="A4" s="3" t="s">
        <v>25</v>
      </c>
      <c r="B4" s="3" t="s">
        <v>26</v>
      </c>
      <c r="C4" s="17">
        <v>1.0</v>
      </c>
      <c r="D4" s="17">
        <v>1.0</v>
      </c>
      <c r="E4" s="18">
        <f t="shared" si="1"/>
        <v>1</v>
      </c>
      <c r="F4" s="6">
        <f>'Configuración'!B3</f>
        <v>37000</v>
      </c>
      <c r="G4" s="6">
        <f t="shared" si="2"/>
        <v>37000</v>
      </c>
    </row>
    <row r="5">
      <c r="A5" s="3" t="s">
        <v>27</v>
      </c>
      <c r="B5" s="3" t="s">
        <v>28</v>
      </c>
      <c r="C5" s="17">
        <v>3.0</v>
      </c>
      <c r="D5" s="17">
        <v>0.5</v>
      </c>
      <c r="E5" s="18">
        <f t="shared" si="1"/>
        <v>1.5</v>
      </c>
      <c r="F5" s="6">
        <f>'Configuración'!B3</f>
        <v>37000</v>
      </c>
      <c r="G5" s="6">
        <f t="shared" si="2"/>
        <v>55500</v>
      </c>
    </row>
    <row r="6">
      <c r="A6" s="3" t="s">
        <v>29</v>
      </c>
      <c r="B6" s="3" t="s">
        <v>30</v>
      </c>
      <c r="C6" s="17">
        <v>3.0</v>
      </c>
      <c r="D6" s="17">
        <v>0.3</v>
      </c>
      <c r="E6" s="18">
        <f t="shared" si="1"/>
        <v>0.9</v>
      </c>
      <c r="F6" s="6">
        <f>'Configuración'!B3</f>
        <v>37000</v>
      </c>
      <c r="G6" s="6">
        <f t="shared" si="2"/>
        <v>33300</v>
      </c>
    </row>
    <row r="7">
      <c r="A7" s="3" t="s">
        <v>31</v>
      </c>
      <c r="B7" s="3" t="s">
        <v>32</v>
      </c>
      <c r="C7" s="17">
        <v>1.0</v>
      </c>
      <c r="D7" s="17">
        <v>1.0</v>
      </c>
      <c r="E7" s="18">
        <f t="shared" si="1"/>
        <v>1</v>
      </c>
      <c r="F7" s="6">
        <f>'Configuración'!B3</f>
        <v>37000</v>
      </c>
      <c r="G7" s="6">
        <f t="shared" si="2"/>
        <v>37000</v>
      </c>
    </row>
    <row r="8">
      <c r="A8" s="19" t="s">
        <v>33</v>
      </c>
      <c r="B8" s="19" t="s">
        <v>34</v>
      </c>
      <c r="C8" s="20" t="s">
        <v>34</v>
      </c>
      <c r="D8" s="20" t="s">
        <v>34</v>
      </c>
      <c r="E8" s="21">
        <f>SUM(E2:E7)</f>
        <v>84.4</v>
      </c>
      <c r="F8" s="22">
        <f>SUM(Equipo_y_licencias[Valor UF (CLP)])</f>
        <v>222000</v>
      </c>
      <c r="G8" s="23">
        <f>SUM(Equipo_y_licencias[Total (CLP)])</f>
        <v>3122800</v>
      </c>
    </row>
  </sheetData>
  <dataValidations>
    <dataValidation type="custom" allowBlank="1" showDropDown="1" sqref="F2:G7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31.5"/>
  </cols>
  <sheetData>
    <row r="1">
      <c r="A1" s="24" t="s">
        <v>35</v>
      </c>
      <c r="B1" s="24" t="s">
        <v>36</v>
      </c>
      <c r="C1" s="24" t="s">
        <v>16</v>
      </c>
    </row>
    <row r="2">
      <c r="A2" s="25" t="s">
        <v>37</v>
      </c>
      <c r="B2" s="24">
        <v>1.0</v>
      </c>
      <c r="C2" s="25" t="s">
        <v>38</v>
      </c>
    </row>
    <row r="3">
      <c r="A3" s="25" t="s">
        <v>4</v>
      </c>
      <c r="B3" s="26">
        <v>37000.0</v>
      </c>
      <c r="C3" s="25" t="s">
        <v>39</v>
      </c>
    </row>
    <row r="4">
      <c r="A4" s="25" t="s">
        <v>40</v>
      </c>
      <c r="B4" s="24">
        <v>3.0</v>
      </c>
      <c r="C4" s="25" t="s">
        <v>41</v>
      </c>
    </row>
    <row r="5">
      <c r="A5" s="25" t="s">
        <v>42</v>
      </c>
      <c r="B5" s="24">
        <v>840.0</v>
      </c>
      <c r="C5" s="25" t="s">
        <v>43</v>
      </c>
    </row>
    <row r="6">
      <c r="A6" s="25" t="s">
        <v>44</v>
      </c>
      <c r="B6" s="24">
        <v>8.0</v>
      </c>
      <c r="C6" s="25" t="s">
        <v>45</v>
      </c>
    </row>
    <row r="7">
      <c r="A7" s="25" t="s">
        <v>46</v>
      </c>
      <c r="B7" s="27">
        <v>45880.0</v>
      </c>
      <c r="C7" s="25" t="s">
        <v>47</v>
      </c>
    </row>
    <row r="8">
      <c r="A8" s="25" t="s">
        <v>48</v>
      </c>
      <c r="B8" s="28">
        <v>45991.0</v>
      </c>
      <c r="C8" s="25" t="s">
        <v>49</v>
      </c>
    </row>
    <row r="9">
      <c r="A9" s="29" t="s">
        <v>50</v>
      </c>
      <c r="B9" s="30">
        <f>Equipo_y_licencias[[#TOTALS],[Total (CLP)]]+'Presupuesto horas'!F10</f>
        <v>34202800</v>
      </c>
    </row>
    <row r="10">
      <c r="A10" s="29" t="s">
        <v>51</v>
      </c>
      <c r="B10" s="30">
        <f>Equipo_y_licencias[[#TOTALS],[Total (CLP)]]</f>
        <v>3122800</v>
      </c>
    </row>
    <row r="11">
      <c r="A11" s="29" t="s">
        <v>42</v>
      </c>
      <c r="B11" s="31">
        <f>'Presupuesto horas'!F10</f>
        <v>31080000</v>
      </c>
    </row>
    <row r="12">
      <c r="A12" s="29" t="s">
        <v>50</v>
      </c>
      <c r="B12" s="30">
        <f>Equipo_y_licencias[[#TOTALS],[Total (CLP)]]+'Presupuesto horas'!F10</f>
        <v>34202800</v>
      </c>
    </row>
  </sheetData>
  <drawing r:id="rId1"/>
</worksheet>
</file>